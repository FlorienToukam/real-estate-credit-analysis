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7e068602e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" sheetId="1" r:id="R8bcdbaeb044049d7"/>
    <x:sheet xmlns:r="http://schemas.openxmlformats.org/officeDocument/2006/relationships" name="Issuer Stress" sheetId="2" r:id="R0b853fb1efdb4b27"/>
    <x:sheet xmlns:r="http://schemas.openxmlformats.org/officeDocument/2006/relationships" name="Property Case" sheetId="3" r:id="R59edd8d6cb0f4216"/>
    <x:sheet xmlns:r="http://schemas.openxmlformats.org/officeDocument/2006/relationships" name="Sources" sheetId="4" r:id="R6507bdd44b9c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(#,##0.0);&quot;-&quot;"/>
    <x:numFmt numFmtId="201" formatCode="yyyy-mm-dd"/>
    <x:numFmt numFmtId="202" formatCode="0.0%;(0.0%);&quot;-&quot;"/>
    <x:numFmt numFmtId="203" formatCode="$0.00"/>
    <x:numFmt numFmtId="204" formatCode="0.0&quot;x&quot;"/>
    <x:numFmt numFmtId="205" formatCode="0.00&quot;x&quot;;(0.00&quot;x&quot;);&quot;-&quot;"/>
  </x:numFmts>
  <x:fonts count="7">
    <x:font>
      <x:sz val="11"/>
      <x:name val="Carlito"/>
    </x:font>
    <x:font>
      <x:sz val="11"/>
      <x:color rgb="FF111111"/>
      <x:name val="Arial"/>
    </x:font>
    <x:font>
      <x:b/>
      <x:sz val="14"/>
      <x:color rgb="FF111111"/>
      <x:name val="Arial"/>
    </x:font>
    <x:font>
      <x:i/>
      <x:sz val="11"/>
      <x:color rgb="FF111111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0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3F4F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454545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1" fontId="1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 applyAlignment="1">
      <x:alignment horizontal="right"/>
    </x:xf>
    <x:xf numFmtId="203" fontId="5" fillId="0" borderId="0" xfId="0" applyNumberFormat="1" applyFont="1" applyFill="1" applyBorder="1" applyAlignment="1">
      <x:alignment horizontal="right"/>
    </x:xf>
    <x:xf numFmtId="200" fontId="1" fillId="2" borderId="0" xfId="0" applyNumberFormat="1" applyFont="1" applyFill="1" applyBorder="1" applyAlignment="1">
      <x:alignment horizontal="right"/>
    </x:xf>
    <x:xf numFmtId="200" fontId="4" fillId="2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horizontal="right" wrapText="1"/>
    </x:xf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horizontal="right" wrapText="1"/>
    </x:xf>
    <x:xf numFmtId="204" fontId="5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left" wrapText="1"/>
    </x:xf>
    <x:xf numFmtId="204" fontId="5" fillId="3" borderId="0" xfId="0" applyNumberFormat="1" applyFont="1" applyFill="1" applyBorder="1" applyAlignment="1">
      <x:alignment horizontal="right"/>
    </x:xf>
    <x:xf numFmtId="200" fontId="5" fillId="3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left"/>
    </x:xf>
    <x:xf numFmtId="205" fontId="1" fillId="0" borderId="0" xfId="0" applyNumberFormat="1" applyFont="1" applyFill="1" applyBorder="1" applyAlignment="1">
      <x:alignment horizontal="right"/>
    </x:xf>
    <x:xf numFmtId="202" fontId="5" fillId="3" borderId="0" xfId="0" applyNumberFormat="1" applyFont="1" applyFill="1" applyBorder="1" applyAlignment="1">
      <x:alignment horizontal="right"/>
    </x:xf>
    <x:xf numFmtId="205" fontId="5" fillId="3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893097cd44e13" /><Relationship Type="http://schemas.openxmlformats.org/officeDocument/2006/relationships/theme" Target="/xl/theme/theme1.xml" Id="Rdf24bee33e424487" /><Relationship Type="http://schemas.openxmlformats.org/officeDocument/2006/relationships/sharedStrings" Target="/xl/sharedStrings.xml" Id="Rc823c0c02d3144e4" /><Relationship Type="http://schemas.openxmlformats.org/officeDocument/2006/relationships/worksheet" Target="/xl/worksheets/sheet1.xml" Id="R8bcdbaeb044049d7" /><Relationship Type="http://schemas.openxmlformats.org/officeDocument/2006/relationships/worksheet" Target="/xl/worksheets/sheet2.xml" Id="R0b853fb1efdb4b27" /><Relationship Type="http://schemas.openxmlformats.org/officeDocument/2006/relationships/worksheet" Target="/xl/worksheets/sheet3.xml" Id="R59edd8d6cb0f4216" /><Relationship Type="http://schemas.openxmlformats.org/officeDocument/2006/relationships/worksheet" Target="/xl/worksheets/sheet4.xml" Id="R6507bdd44b9c44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3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1"/>
      <x:c r="B2" s="1"/>
      <x:c r="C2" s="3" t="str">
        <x:v>Simon Property Group financials</x:v>
      </x:c>
      <x:c r="D2" s="3"/>
      <x:c r="E2" s="3"/>
      <x:c r="F2" s="3"/>
      <x:c r="G2" s="3"/>
      <x:c r="H2" s="3"/>
    </x:row>
    <x:row r="3" ht="24" customHeight="1">
      <x:c r="A3" s="1"/>
      <x:c r="B3" s="1"/>
      <x:c r="C3" s="4" t="str">
        <x:v>USD millions, except occupancy and rent per square foot</x:v>
      </x:c>
      <x:c r="D3" s="4"/>
      <x:c r="E3" s="4"/>
      <x:c r="F3" s="4"/>
      <x:c r="G3" s="4"/>
      <x:c r="H3" s="4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22" customHeight="1">
      <x:c r="A6" s="1"/>
      <x:c r="B6" s="1"/>
      <x:c r="C6" s="8" t="str">
        <x:v>Reported metric</x:v>
      </x:c>
      <x:c r="D6" s="8" t="str">
        <x:v>FY 2023</x:v>
      </x:c>
      <x:c r="E6" s="8" t="str">
        <x:v>FY 2024</x:v>
      </x:c>
      <x:c r="F6" s="8" t="str">
        <x:v>FY 2025</x:v>
      </x:c>
      <x:c r="G6" s="1"/>
      <x:c r="H6" s="1"/>
    </x:row>
    <x:row r="7" ht="22" customHeight="1">
      <x:c r="A7" s="1"/>
      <x:c r="B7" s="1"/>
      <x:c r="C7" s="1"/>
      <x:c r="D7" s="9" t="n">
        <x:v>45291</x:v>
      </x:c>
      <x:c r="E7" s="9" t="n">
        <x:v>45657</x:v>
      </x:c>
      <x:c r="F7" s="9" t="n">
        <x:v>46022</x:v>
      </x:c>
      <x:c r="G7" s="1"/>
      <x:c r="H7" s="1"/>
    </x:row>
    <x:row r="8" ht="22" customHeight="1">
      <x:c r="A8" s="1"/>
      <x:c r="B8" s="1"/>
      <x:c r="C8" s="1"/>
      <x:c r="D8" s="6"/>
      <x:c r="E8" s="6"/>
      <x:c r="F8" s="6"/>
      <x:c r="G8" s="6"/>
      <x:c r="H8" s="6"/>
    </x:row>
    <x:row r="9" ht="22" customHeight="1">
      <x:c r="A9" s="1"/>
      <x:c r="B9" s="1"/>
      <x:c r="C9" s="1" t="str">
        <x:v>Total consolidated revenue</x:v>
      </x:c>
      <x:c r="D9" s="10" t="n">
        <x:v>5658.836</x:v>
      </x:c>
      <x:c r="E9" s="10" t="n">
        <x:v>5963.798</x:v>
      </x:c>
      <x:c r="F9" s="10" t="n">
        <x:v>6364.505</x:v>
      </x:c>
      <x:c r="G9" s="6"/>
      <x:c r="H9" s="6"/>
    </x:row>
    <x:row r="10" ht="22" customHeight="1">
      <x:c r="A10" s="1"/>
      <x:c r="B10" s="1"/>
      <x:c r="C10" s="1" t="str">
        <x:v>Consolidated lease income</x:v>
      </x:c>
      <x:c r="D10" s="10" t="n">
        <x:v>5164.335</x:v>
      </x:c>
      <x:c r="E10" s="10" t="n">
        <x:v>5389.76</x:v>
      </x:c>
      <x:c r="F10" s="10" t="n">
        <x:v>5839.16</x:v>
      </x:c>
      <x:c r="G10" s="6"/>
      <x:c r="H10" s="6"/>
    </x:row>
    <x:row r="11" ht="22" customHeight="1">
      <x:c r="A11" s="1"/>
      <x:c r="B11" s="1"/>
      <x:c r="C11" s="1" t="str">
        <x:v>Consolidated interest expense</x:v>
      </x:c>
      <x:c r="D11" s="10" t="n">
        <x:v>854.648</x:v>
      </x:c>
      <x:c r="E11" s="10" t="n">
        <x:v>905.797</x:v>
      </x:c>
      <x:c r="F11" s="10" t="n">
        <x:v>974.835</x:v>
      </x:c>
      <x:c r="G11" s="6"/>
      <x:c r="H11" s="6"/>
    </x:row>
    <x:row r="12" ht="22" customHeight="1">
      <x:c r="A12" s="1"/>
      <x:c r="B12" s="1"/>
      <x:c r="C12" s="1" t="str">
        <x:v>Net income to common stockholders</x:v>
      </x:c>
      <x:c r="D12" s="10" t="n">
        <x:v>2280</x:v>
      </x:c>
      <x:c r="E12" s="10" t="n">
        <x:v>2368</x:v>
      </x:c>
      <x:c r="F12" s="10" t="n">
        <x:v>4624</x:v>
      </x:c>
      <x:c r="G12" s="6"/>
      <x:c r="H12" s="6"/>
    </x:row>
    <x:row r="13" ht="22" customHeight="1">
      <x:c r="A13" s="1"/>
      <x:c r="B13" s="1"/>
      <x:c r="C13" s="1" t="str">
        <x:v>FFO of the Operating Partnership</x:v>
      </x:c>
      <x:c r="D13" s="10" t="n">
        <x:v>4686</x:v>
      </x:c>
      <x:c r="E13" s="10" t="n">
        <x:v>4877</x:v>
      </x:c>
      <x:c r="F13" s="10" t="n">
        <x:v>4663</x:v>
      </x:c>
      <x:c r="G13" s="6"/>
      <x:c r="H13" s="6"/>
    </x:row>
    <x:row r="14" ht="22" customHeight="1">
      <x:c r="A14" s="1"/>
      <x:c r="B14" s="1"/>
      <x:c r="C14" s="1" t="str">
        <x:v>Real Estate FFO</x:v>
      </x:c>
      <x:c r="D14" s="10" t="n">
        <x:v>4409</x:v>
      </x:c>
      <x:c r="E14" s="10" t="n">
        <x:v>4597</x:v>
      </x:c>
      <x:c r="F14" s="10" t="n">
        <x:v>4812</x:v>
      </x:c>
      <x:c r="G14" s="6"/>
      <x:c r="H14" s="6"/>
    </x:row>
    <x:row r="15" ht="22" customHeight="1">
      <x:c r="A15" s="1"/>
      <x:c r="B15" s="1"/>
      <x:c r="C15" s="1" t="str">
        <x:v>U.S. malls and outlets occupancy</x:v>
      </x:c>
      <x:c r="D15" s="11" t="n">
        <x:v>0.958</x:v>
      </x:c>
      <x:c r="E15" s="11" t="n">
        <x:v>0.965</x:v>
      </x:c>
      <x:c r="F15" s="11" t="n">
        <x:v>0.964</x:v>
      </x:c>
      <x:c r="G15" s="6"/>
      <x:c r="H15" s="6"/>
    </x:row>
    <x:row r="16" ht="22" customHeight="1">
      <x:c r="A16" s="1"/>
      <x:c r="B16" s="1"/>
      <x:c r="C16" s="1" t="str">
        <x:v>Base minimum rent per square foot</x:v>
      </x:c>
      <x:c r="D16" s="12" t="n">
        <x:v>56.82</x:v>
      </x:c>
      <x:c r="E16" s="12" t="n">
        <x:v>58.26</x:v>
      </x:c>
      <x:c r="F16" s="12" t="n">
        <x:v>60.97</x:v>
      </x:c>
      <x:c r="G16" s="6"/>
      <x:c r="H16" s="6"/>
    </x:row>
    <x:row r="17" ht="22" customHeight="1">
      <x:c r="A17" s="1"/>
      <x:c r="B17" s="1"/>
      <x:c r="C17" s="1"/>
      <x:c r="D17" s="6"/>
      <x:c r="E17" s="6"/>
      <x:c r="F17" s="6"/>
      <x:c r="G17" s="6"/>
      <x:c r="H17" s="6"/>
    </x:row>
    <x:row r="18" ht="22" customHeight="1">
      <x:c r="A18" s="1"/>
      <x:c r="B18" s="1"/>
      <x:c r="C18" s="8" t="str">
        <x:v>Calculated year-over-year change</x:v>
      </x:c>
      <x:c r="D18" s="14" t="str">
        <x:v>FY 2023</x:v>
      </x:c>
      <x:c r="E18" s="14" t="str">
        <x:v>FY 2024</x:v>
      </x:c>
      <x:c r="F18" s="14" t="str">
        <x:v>FY 2025</x:v>
      </x:c>
      <x:c r="G18" s="6"/>
      <x:c r="H18" s="6"/>
    </x:row>
    <x:row r="19" ht="22" customHeight="1">
      <x:c r="A19" s="1"/>
      <x:c r="B19" s="1"/>
      <x:c r="C19" s="1" t="str">
        <x:v>Revenue growth</x:v>
      </x:c>
      <x:c r="D19" s="6"/>
      <x:c r="E19" s="15" t="n">
        <x:f>E9/D9-1</x:f>
        <x:v>0.053891294958892555</x:v>
      </x:c>
      <x:c r="F19" s="15" t="n">
        <x:f>F9/E9-1</x:f>
        <x:v>0.06718990146882908</x:v>
      </x:c>
      <x:c r="G19" s="6"/>
      <x:c r="H19" s="6"/>
    </x:row>
    <x:row r="20" ht="22" customHeight="1">
      <x:c r="A20" s="1"/>
      <x:c r="B20" s="1"/>
      <x:c r="C20" s="1" t="str">
        <x:v>Common net income growth</x:v>
      </x:c>
      <x:c r="D20" s="6"/>
      <x:c r="E20" s="15" t="n">
        <x:f>E12/D12-1</x:f>
        <x:v>0.03859649122807007</x:v>
      </x:c>
      <x:c r="F20" s="15" t="n">
        <x:f>F12/E12-1</x:f>
        <x:v>0.9527027027027026</x:v>
      </x:c>
      <x:c r="G20" s="6"/>
      <x:c r="H20" s="6"/>
    </x:row>
    <x:row r="21" ht="22" customHeight="1">
      <x:c r="A21" s="1"/>
      <x:c r="B21" s="1"/>
      <x:c r="C21" s="1" t="str">
        <x:v>Real Estate FFO growth</x:v>
      </x:c>
      <x:c r="D21" s="6"/>
      <x:c r="E21" s="15" t="n">
        <x:f>E14/D14-1</x:f>
        <x:v>0.04264005443411212</x:v>
      </x:c>
      <x:c r="F21" s="15" t="n">
        <x:f>F14/E14-1</x:f>
        <x:v>0.046769632368936165</x:v>
      </x:c>
      <x:c r="G21" s="6"/>
      <x:c r="H21" s="6"/>
    </x:row>
    <x:row r="22" ht="22" customHeight="1">
      <x:c r="A22" s="1"/>
      <x:c r="B22" s="1"/>
      <x:c r="C22" s="1"/>
      <x:c r="D22" s="6"/>
      <x:c r="E22" s="6"/>
      <x:c r="F22" s="6"/>
      <x:c r="G22" s="6"/>
      <x:c r="H22" s="6"/>
    </x:row>
    <x:row r="23" ht="22" customHeight="1">
      <x:c r="A23" s="1"/>
      <x:c r="B23" s="1"/>
      <x:c r="C23" s="1"/>
      <x:c r="D23" s="6"/>
      <x:c r="E23" s="6"/>
      <x:c r="F23" s="6"/>
      <x:c r="G23" s="6"/>
      <x:c r="H23" s="6"/>
    </x:row>
    <x:row r="24" ht="42" customHeight="1">
      <x:c r="A24" s="1"/>
      <x:c r="B24" s="1"/>
      <x:c r="C24" s="18" t="str">
        <x:v>Sources S1 and S2. FFO and common net income are rounded to USD millions as reported in the release summaries. Other rows retain statement-table precision.</x:v>
      </x:c>
      <x:c r="D24" s="19"/>
      <x:c r="E24" s="19"/>
      <x:c r="F24" s="19"/>
      <x:c r="G24" s="6"/>
      <x:c r="H24" s="6"/>
    </x:row>
    <x:row r="25" ht="22" customHeight="1">
      <x:c r="A25" s="1"/>
      <x:c r="B25" s="1"/>
      <x:c r="C25" s="1"/>
      <x:c r="D25" s="6"/>
      <x:c r="E25" s="6"/>
      <x:c r="F25" s="6"/>
      <x:c r="G25" s="6"/>
      <x:c r="H25" s="6"/>
    </x:row>
    <x:row r="26" ht="42" customHeight="1">
      <x:c r="A26" s="1"/>
      <x:c r="B26" s="1"/>
      <x:c r="C26" s="18" t="str">
        <x:v>FFO is a non-GAAP operating measure. It is not cash available for debt service. FY 2025 includes the Taubman control acquisition and a large non-cash remeasurement gain.</x:v>
      </x:c>
      <x:c r="D26" s="19"/>
      <x:c r="E26" s="19"/>
      <x:c r="F26" s="19"/>
      <x:c r="G26" s="6"/>
      <x:c r="H26" s="6"/>
    </x:row>
    <x:row r="27" ht="22" customHeight="1">
      <x:c r="A27" s="1"/>
      <x:c r="B27" s="1"/>
      <x:c r="C27" s="1"/>
      <x:c r="D27" s="6"/>
      <x:c r="E27" s="6"/>
      <x:c r="F27" s="6"/>
      <x:c r="G27" s="6"/>
      <x:c r="H27" s="6"/>
    </x:row>
    <x:row r="28" ht="42" customHeight="1">
      <x:c r="A28" s="1"/>
      <x:c r="B28" s="1"/>
      <x:c r="C28" s="18" t="str">
        <x:v>The 2025 release identifies a USD 2.89 billion non-cash gain in fourth-quarter net income. This workbook does not subtract it mechanically to claim adjusted after-tax common income.</x:v>
      </x:c>
      <x:c r="D28" s="19"/>
      <x:c r="E28" s="19"/>
      <x:c r="F28" s="19"/>
      <x:c r="G28" s="6"/>
      <x:c r="H28" s="6"/>
    </x:row>
    <x:row r="29" ht="22" customHeight="1">
      <x:c r="A29" s="1"/>
      <x:c r="B29" s="1"/>
      <x:c r="C29" s="1"/>
      <x:c r="D29" s="6"/>
      <x:c r="E29" s="6"/>
      <x:c r="F29" s="6"/>
      <x:c r="G29" s="6"/>
      <x:c r="H29" s="6"/>
    </x:row>
    <x:row r="30" ht="22" customHeight="1">
      <x:c r="A30" s="1"/>
      <x:c r="B30" s="1"/>
      <x:c r="C30" s="1"/>
      <x:c r="D30" s="6"/>
      <x:c r="E30" s="6"/>
      <x:c r="F30" s="6"/>
      <x:c r="G30" s="6"/>
      <x:c r="H30" s="6"/>
    </x:row>
    <x:row r="31" ht="22" customHeight="1">
      <x:c r="A31" s="1"/>
      <x:c r="B31" s="1"/>
      <x:c r="C31" s="1"/>
      <x:c r="D31" s="6"/>
      <x:c r="E31" s="6"/>
      <x:c r="F31" s="6"/>
      <x:c r="G31" s="6"/>
      <x:c r="H31" s="6"/>
    </x:row>
  </x:sheetData>
  <x:mergeCells>
    <x:mergeCell ref="C24:F24"/>
    <x:mergeCell ref="C26:F26"/>
    <x:mergeCell ref="C28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3" hidden="0" customWidth="1"/>
    <x:col min="4" max="4" width="18" hidden="0" customWidth="1"/>
    <x:col min="5" max="5" width="26" hidden="0" customWidth="1"/>
    <x:col min="6" max="6" width="26" hidden="0" customWidth="1"/>
    <x:col min="7" max="7" width="17" hidden="0" customWidth="1"/>
    <x:col min="8" max="8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1"/>
      <x:c r="B2" s="1"/>
      <x:c r="C2" s="3" t="str">
        <x:v>Simon debt and refinancing stress</x:v>
      </x:c>
      <x:c r="D2" s="3"/>
      <x:c r="E2" s="3"/>
      <x:c r="F2" s="3"/>
      <x:c r="G2" s="3"/>
      <x:c r="H2" s="3"/>
    </x:row>
    <x:row r="3" ht="24" customHeight="1">
      <x:c r="A3" s="1"/>
      <x:c r="B3" s="1"/>
      <x:c r="C3" s="4" t="str">
        <x:v>June 30, 2026; USD millions; sources S3 and S4</x:v>
      </x:c>
      <x:c r="D3" s="4"/>
      <x:c r="E3" s="4"/>
      <x:c r="F3" s="4"/>
      <x:c r="G3" s="4"/>
      <x:c r="H3" s="4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22" customHeight="1">
      <x:c r="A6" s="1"/>
      <x:c r="B6" s="1"/>
      <x:c r="C6" s="8" t="str">
        <x:v>Our-share inputs</x:v>
      </x:c>
      <x:c r="D6" s="8" t="str">
        <x:v>Value</x:v>
      </x:c>
      <x:c r="E6" s="8" t="str">
        <x:v>Period</x:v>
      </x:c>
      <x:c r="F6" s="8" t="str">
        <x:v>Source</x:v>
      </x:c>
      <x:c r="G6" s="1"/>
      <x:c r="H6" s="1"/>
    </x:row>
    <x:row r="7" ht="22" customHeight="1">
      <x:c r="A7" s="1"/>
      <x:c r="B7" s="1"/>
      <x:c r="C7" s="1"/>
      <x:c r="D7" s="1"/>
      <x:c r="E7" s="1"/>
      <x:c r="F7" s="1"/>
      <x:c r="G7" s="1"/>
      <x:c r="H7" s="1"/>
    </x:row>
    <x:row r="8" ht="36" customHeight="1">
      <x:c r="A8" s="1"/>
      <x:c r="B8" s="1"/>
      <x:c r="C8" s="1" t="str">
        <x:v>Fixed-rate debt after derivatives</x:v>
      </x:c>
      <x:c r="D8" s="10" t="n">
        <x:v>33875.026</x:v>
      </x:c>
      <x:c r="E8" s="21" t="str">
        <x:v>June 30, 2026</x:v>
      </x:c>
      <x:c r="F8" s="21" t="str">
        <x:v>S3 p27</x:v>
      </x:c>
      <x:c r="G8" s="6"/>
      <x:c r="H8" s="6"/>
    </x:row>
    <x:row r="9" ht="36" customHeight="1">
      <x:c r="A9" s="1"/>
      <x:c r="B9" s="1"/>
      <x:c r="C9" s="1" t="str">
        <x:v>Variable-rate debt after derivatives</x:v>
      </x:c>
      <x:c r="D9" s="10" t="n">
        <x:v>1856.007</x:v>
      </x:c>
      <x:c r="E9" s="21" t="str">
        <x:v>June 30, 2026</x:v>
      </x:c>
      <x:c r="F9" s="21" t="str">
        <x:v>S3 p27</x:v>
      </x:c>
      <x:c r="G9" s="6"/>
      <x:c r="H9" s="6"/>
    </x:row>
    <x:row r="10" ht="36" customHeight="1">
      <x:c r="A10" s="1"/>
      <x:c r="B10" s="1"/>
      <x:c r="C10" s="1" t="str">
        <x:v>Fixed-rate weighted rate</x:v>
      </x:c>
      <x:c r="D10" s="11" t="n">
        <x:v>0.0409</x:v>
      </x:c>
      <x:c r="E10" s="21" t="str">
        <x:v>June 30, 2026</x:v>
      </x:c>
      <x:c r="F10" s="21" t="str">
        <x:v>S3 p27</x:v>
      </x:c>
      <x:c r="G10" s="6"/>
      <x:c r="H10" s="6"/>
    </x:row>
    <x:row r="11" ht="36" customHeight="1">
      <x:c r="A11" s="1"/>
      <x:c r="B11" s="1"/>
      <x:c r="C11" s="1" t="str">
        <x:v>Variable-rate weighted rate</x:v>
      </x:c>
      <x:c r="D11" s="11" t="n">
        <x:v>0.0504</x:v>
      </x:c>
      <x:c r="E11" s="21" t="str">
        <x:v>June 30, 2026</x:v>
      </x:c>
      <x:c r="F11" s="21" t="str">
        <x:v>S3 p27</x:v>
      </x:c>
      <x:c r="G11" s="6"/>
      <x:c r="H11" s="6"/>
    </x:row>
    <x:row r="12" ht="36" customHeight="1">
      <x:c r="A12" s="1"/>
      <x:c r="B12" s="1"/>
      <x:c r="C12" s="1" t="str">
        <x:v>Beneficial interest of combined NOI</x:v>
      </x:c>
      <x:c r="D12" s="10" t="n">
        <x:v>3347.471</x:v>
      </x:c>
      <x:c r="E12" s="21" t="str">
        <x:v>Six months to June 30, 2026</x:v>
      </x:c>
      <x:c r="F12" s="21" t="str">
        <x:v>S3 p16</x:v>
      </x:c>
      <x:c r="G12" s="6"/>
      <x:c r="H12" s="6"/>
    </x:row>
    <x:row r="13" ht="36" customHeight="1">
      <x:c r="A13" s="1"/>
      <x:c r="B13" s="1"/>
      <x:c r="C13" s="1" t="str">
        <x:v>Annualization factor</x:v>
      </x:c>
      <x:c r="D13" s="22" t="n">
        <x:v>2</x:v>
      </x:c>
      <x:c r="E13" s="21" t="str">
        <x:v>Scenario assumption</x:v>
      </x:c>
      <x:c r="F13" s="21" t="str">
        <x:v>No seasonality adjustment</x:v>
      </x:c>
      <x:c r="G13" s="6"/>
      <x:c r="H13" s="6"/>
    </x:row>
    <x:row r="14" ht="36" customHeight="1">
      <x:c r="A14" s="1"/>
      <x:c r="B14" s="1"/>
      <x:c r="C14" s="1" t="str">
        <x:v>Fixed debt selected for refinancing stress</x:v>
      </x:c>
      <x:c r="D14" s="23" t="n">
        <x:v>2000</x:v>
      </x:c>
      <x:c r="E14" s="21" t="str">
        <x:v>Illustrative subset</x:v>
      </x:c>
      <x:c r="F14" s="21" t="str">
        <x:v>Not a reported maturity amount</x:v>
      </x:c>
      <x:c r="G14" s="6"/>
      <x:c r="H14" s="6"/>
    </x:row>
    <x:row r="15" ht="36" customHeight="1">
      <x:c r="A15" s="1"/>
      <x:c r="B15" s="1"/>
      <x:c r="C15" s="1" t="str">
        <x:v>Cash plus available revolving capacity</x:v>
      </x:c>
      <x:c r="D15" s="10" t="n">
        <x:v>9300</x:v>
      </x:c>
      <x:c r="E15" s="21" t="str">
        <x:v>June 30, 2026</x:v>
      </x:c>
      <x:c r="F15" s="21" t="str">
        <x:v>S4; rounded headline</x:v>
      </x:c>
      <x:c r="G15" s="6"/>
      <x:c r="H15" s="6"/>
    </x:row>
    <x:row r="16" ht="36" customHeight="1">
      <x:c r="A16" s="1"/>
      <x:c r="B16" s="1"/>
      <x:c r="C16" s="1" t="str">
        <x:v>2026 remaining amortization and maturities</x:v>
      </x:c>
      <x:c r="D16" s="10" t="n">
        <x:v>4383.967</x:v>
      </x:c>
      <x:c r="E16" s="21" t="str">
        <x:v>As of June 30, 2026</x:v>
      </x:c>
      <x:c r="F16" s="21" t="str">
        <x:v>S3 p28; principal face basis</x:v>
      </x:c>
      <x:c r="G16" s="6"/>
      <x:c r="H16" s="6"/>
    </x:row>
    <x:row r="17" ht="36" customHeight="1">
      <x:c r="A17" s="1"/>
      <x:c r="B17" s="1"/>
      <x:c r="C17" s="1" t="str">
        <x:v>2027 amortization and maturities</x:v>
      </x:c>
      <x:c r="D17" s="10" t="n">
        <x:v>5044.394</x:v>
      </x:c>
      <x:c r="E17" s="21" t="str">
        <x:v>As of June 30, 2026</x:v>
      </x:c>
      <x:c r="F17" s="21" t="str">
        <x:v>S3 p28; principal face basis</x:v>
      </x:c>
      <x:c r="G17" s="6"/>
      <x:c r="H17" s="6"/>
    </x:row>
    <x:row r="18" ht="22" customHeight="1">
      <x:c r="A18" s="1"/>
      <x:c r="B18" s="1"/>
      <x:c r="C18" s="1" t="str">
        <x:v>Reported our-share debt after adjustments</x:v>
      </x:c>
      <x:c r="D18" s="10" t="n">
        <x:v>35731.033</x:v>
      </x:c>
      <x:c r="E18" s="24" t="str">
        <x:v>June 30, 2026</x:v>
      </x:c>
      <x:c r="F18" s="24" t="str">
        <x:v>S3 p27</x:v>
      </x:c>
      <x:c r="G18" s="6"/>
      <x:c r="H18" s="6"/>
    </x:row>
    <x:row r="19" ht="22" customHeight="1">
      <x:c r="A19" s="1"/>
      <x:c r="B19" s="1"/>
      <x:c r="C19" s="8" t="str">
        <x:v>Analyst scenario</x:v>
      </x:c>
      <x:c r="D19" s="14" t="str">
        <x:v>Base</x:v>
      </x:c>
      <x:c r="E19" s="14" t="str">
        <x:v>Rate stress</x:v>
      </x:c>
      <x:c r="F19" s="14" t="str">
        <x:v>Combined stress</x:v>
      </x:c>
      <x:c r="G19" s="6"/>
      <x:c r="H19" s="6"/>
    </x:row>
    <x:row r="20" ht="22" customHeight="1">
      <x:c r="A20" s="1"/>
      <x:c r="B20" s="1"/>
      <x:c r="C20" s="1" t="str">
        <x:v>Incremental interest rate</x:v>
      </x:c>
      <x:c r="D20" s="11" t="n">
        <x:v>0</x:v>
      </x:c>
      <x:c r="E20" s="11" t="n">
        <x:v>0.02</x:v>
      </x:c>
      <x:c r="F20" s="11" t="n">
        <x:v>0.02</x:v>
      </x:c>
      <x:c r="G20" s="6"/>
      <x:c r="H20" s="6"/>
    </x:row>
    <x:row r="21" ht="22" customHeight="1">
      <x:c r="A21" s="1"/>
      <x:c r="B21" s="1"/>
      <x:c r="C21" s="1" t="str">
        <x:v>Combined NOI change</x:v>
      </x:c>
      <x:c r="D21" s="11" t="n">
        <x:v>0</x:v>
      </x:c>
      <x:c r="E21" s="11" t="n">
        <x:v>0</x:v>
      </x:c>
      <x:c r="F21" s="11" t="n">
        <x:v>-0.1</x:v>
      </x:c>
      <x:c r="G21" s="6"/>
      <x:c r="H21" s="6"/>
    </x:row>
    <x:row r="22" ht="22" customHeight="1">
      <x:c r="A22" s="1"/>
      <x:c r="B22" s="1"/>
      <x:c r="C22" s="1"/>
      <x:c r="D22" s="6"/>
      <x:c r="E22" s="6"/>
      <x:c r="F22" s="6"/>
      <x:c r="G22" s="6"/>
      <x:c r="H22" s="6"/>
    </x:row>
    <x:row r="23" ht="22" customHeight="1">
      <x:c r="A23" s="1"/>
      <x:c r="B23" s="1"/>
      <x:c r="C23" s="1" t="str">
        <x:v>Debt after issuance adjustments</x:v>
      </x:c>
      <x:c r="D23" s="6" t="n">
        <x:f>$D$8+$D$9</x:f>
        <x:v>35731.032999999996</x:v>
      </x:c>
      <x:c r="E23" s="6" t="n">
        <x:f>$D$8+$D$9</x:f>
        <x:v>35731.032999999996</x:v>
      </x:c>
      <x:c r="F23" s="6" t="n">
        <x:f>$D$8+$D$9</x:f>
        <x:v>35731.032999999996</x:v>
      </x:c>
      <x:c r="G23" s="6"/>
      <x:c r="H23" s="6"/>
    </x:row>
    <x:row r="24" ht="22" customHeight="1">
      <x:c r="A24" s="1"/>
      <x:c r="B24" s="1"/>
      <x:c r="C24" s="1" t="str">
        <x:v>Annualized combined NOI proxy</x:v>
      </x:c>
      <x:c r="D24" s="6" t="n">
        <x:f>$D$12*$D$13*(1+D21)</x:f>
        <x:v>6694.942</x:v>
      </x:c>
      <x:c r="E24" s="6" t="n">
        <x:f>$D$12*$D$13*(1+E21)</x:f>
        <x:v>6694.942</x:v>
      </x:c>
      <x:c r="F24" s="6" t="n">
        <x:f>$D$12*$D$13*(1+F21)</x:f>
        <x:v>6025.4478</x:v>
      </x:c>
      <x:c r="G24" s="6"/>
      <x:c r="H24" s="6"/>
    </x:row>
    <x:row r="25" ht="22" customHeight="1">
      <x:c r="A25" s="1"/>
      <x:c r="B25" s="1"/>
      <x:c r="C25" s="1" t="str">
        <x:v>Weighted-rate annual interest proxy</x:v>
      </x:c>
      <x:c r="D25" s="6" t="n">
        <x:f>$D$8*$D$10+$D$9*$D$11</x:f>
        <x:v>1479.0313162</x:v>
      </x:c>
      <x:c r="E25" s="6" t="n">
        <x:f>$D$8*$D$10+$D$9*$D$11</x:f>
        <x:v>1479.0313162</x:v>
      </x:c>
      <x:c r="F25" s="6" t="n">
        <x:f>$D$8*$D$10+$D$9*$D$11</x:f>
        <x:v>1479.0313162</x:v>
      </x:c>
      <x:c r="G25" s="6"/>
      <x:c r="H25" s="6"/>
    </x:row>
    <x:row r="26" ht="22" customHeight="1">
      <x:c r="A26" s="1"/>
      <x:c r="B26" s="1"/>
      <x:c r="C26" s="1" t="str">
        <x:v>Added annual interest on variable debt</x:v>
      </x:c>
      <x:c r="D26" s="6" t="n">
        <x:f>$D$9*D20</x:f>
        <x:v>0</x:v>
      </x:c>
      <x:c r="E26" s="6" t="n">
        <x:f>$D$9*E20</x:f>
        <x:v>37.12014</x:v>
      </x:c>
      <x:c r="F26" s="6" t="n">
        <x:f>$D$9*F20</x:f>
        <x:v>37.12014</x:v>
      </x:c>
      <x:c r="G26" s="6"/>
      <x:c r="H26" s="6"/>
    </x:row>
    <x:row r="27" ht="22" customHeight="1">
      <x:c r="A27" s="1"/>
      <x:c r="B27" s="1"/>
      <x:c r="C27" s="1" t="str">
        <x:v>Added annual interest on selected fixed refinance</x:v>
      </x:c>
      <x:c r="D27" s="6" t="n">
        <x:f>$D$14*D20</x:f>
        <x:v>0</x:v>
      </x:c>
      <x:c r="E27" s="6" t="n">
        <x:f>$D$14*E20</x:f>
        <x:v>40</x:v>
      </x:c>
      <x:c r="F27" s="6" t="n">
        <x:f>$D$14*F20</x:f>
        <x:v>40</x:v>
      </x:c>
      <x:c r="G27" s="6"/>
      <x:c r="H27" s="6"/>
    </x:row>
    <x:row r="28" ht="22" customHeight="1">
      <x:c r="A28" s="1"/>
      <x:c r="B28" s="1"/>
      <x:c r="C28" s="1" t="str">
        <x:v>Total annual interest proxy</x:v>
      </x:c>
      <x:c r="D28" s="6" t="n">
        <x:f>SUM(D25:D27)</x:f>
        <x:v>1479.0313162</x:v>
      </x:c>
      <x:c r="E28" s="6" t="n">
        <x:f>SUM(E25:E27)</x:f>
        <x:v>1556.1514562</x:v>
      </x:c>
      <x:c r="F28" s="6" t="n">
        <x:f>SUM(F25:F27)</x:f>
        <x:v>1556.1514562</x:v>
      </x:c>
      <x:c r="G28" s="6"/>
      <x:c r="H28" s="6"/>
    </x:row>
    <x:row r="29" ht="22" customHeight="1">
      <x:c r="A29" s="1"/>
      <x:c r="B29" s="1"/>
      <x:c r="C29" s="1" t="str">
        <x:v>Combined NOI / interest proxy</x:v>
      </x:c>
      <x:c r="D29" s="25" t="n">
        <x:f>D24/D28</x:f>
        <x:v>4.526572173739346</x:v>
      </x:c>
      <x:c r="E29" s="25" t="n">
        <x:f>E24/E28</x:f>
        <x:v>4.302243186758006</x:v>
      </x:c>
      <x:c r="F29" s="25" t="n">
        <x:f>F24/F28</x:f>
        <x:v>3.8720188680822054</x:v>
      </x:c>
      <x:c r="G29" s="6"/>
      <x:c r="H29" s="6"/>
    </x:row>
    <x:row r="30" ht="22" customHeight="1">
      <x:c r="A30" s="1"/>
      <x:c r="B30" s="1"/>
      <x:c r="C30" s="1" t="str">
        <x:v>Debt / annualized combined NOI proxy</x:v>
      </x:c>
      <x:c r="D30" s="25" t="n">
        <x:f>D23/D24</x:f>
        <x:v>5.337019051098575</x:v>
      </x:c>
      <x:c r="E30" s="25" t="n">
        <x:f>E23/E24</x:f>
        <x:v>5.337019051098575</x:v>
      </x:c>
      <x:c r="F30" s="25" t="n">
        <x:f>F23/F24</x:f>
        <x:v>5.930021167887306</x:v>
      </x:c>
      <x:c r="G30" s="6"/>
      <x:c r="H30" s="6"/>
    </x:row>
    <x:row r="31" ht="22" customHeight="1">
      <x:c r="A31" s="1"/>
      <x:c r="B31" s="1"/>
      <x:c r="C31" s="1"/>
      <x:c r="D31" s="6"/>
      <x:c r="E31" s="6"/>
      <x:c r="F31" s="6"/>
      <x:c r="G31" s="6"/>
      <x:c r="H31" s="6"/>
    </x:row>
    <x:row r="32" ht="22" customHeight="1">
      <x:c r="A32" s="1"/>
      <x:c r="B32" s="1"/>
      <x:c r="C32" s="1" t="str">
        <x:v>Fixed + variable debt less reported total</x:v>
      </x:c>
      <x:c r="D32" s="6" t="n">
        <x:f>ROUND(D23-D18,3)</x:f>
        <x:v>0</x:v>
      </x:c>
      <x:c r="E32" s="6"/>
      <x:c r="F32" s="6"/>
      <x:c r="G32" s="6"/>
      <x:c r="H32" s="6"/>
    </x:row>
    <x:row r="33" ht="22" customHeight="1">
      <x:c r="A33" s="1"/>
      <x:c r="B33" s="1"/>
      <x:c r="C33" s="1" t="str">
        <x:v>Fixed debt outside the stress subset</x:v>
      </x:c>
      <x:c r="D33" s="6" t="n">
        <x:f>D8-D14</x:f>
        <x:v>31875.025999999998</x:v>
      </x:c>
      <x:c r="E33" s="6"/>
      <x:c r="F33" s="6"/>
      <x:c r="G33" s="6"/>
      <x:c r="H33" s="6"/>
    </x:row>
    <x:row r="34" ht="22" customHeight="1">
      <x:c r="A34" s="1"/>
      <x:c r="B34" s="1"/>
      <x:c r="C34" s="1" t="str">
        <x:v>Liquidity less 2026 remaining principal</x:v>
      </x:c>
      <x:c r="D34" s="6" t="n">
        <x:f>D15-D16</x:f>
        <x:v>4916.033</x:v>
      </x:c>
      <x:c r="E34" s="6"/>
      <x:c r="F34" s="6"/>
      <x:c r="G34" s="6"/>
      <x:c r="H34" s="6"/>
    </x:row>
    <x:row r="35" ht="22" customHeight="1">
      <x:c r="A35" s="1"/>
      <x:c r="B35" s="1"/>
      <x:c r="C35" s="1"/>
      <x:c r="D35" s="6"/>
      <x:c r="E35" s="6"/>
      <x:c r="F35" s="6"/>
      <x:c r="G35" s="6"/>
      <x:c r="H35" s="6"/>
    </x:row>
    <x:row r="36" ht="22" customHeight="1">
      <x:c r="A36" s="1"/>
      <x:c r="B36" s="1"/>
      <x:c r="C36" s="1"/>
      <x:c r="D36" s="6"/>
      <x:c r="E36" s="6"/>
      <x:c r="F36" s="6"/>
      <x:c r="G36" s="6"/>
      <x:c r="H36" s="6"/>
    </x:row>
    <x:row r="37" ht="42" customHeight="1">
      <x:c r="A37" s="1"/>
      <x:c r="B37" s="1"/>
      <x:c r="C37" s="18" t="str">
        <x:v>The rate case applies 200 bps to reported variable debt and a separate USD 2.0 billion fixed-debt refinancing subset. No fixed debt is repriced before its assumed refinancing.</x:v>
      </x:c>
      <x:c r="D37" s="19"/>
      <x:c r="E37" s="19"/>
      <x:c r="F37" s="19"/>
      <x:c r="G37" s="6"/>
      <x:c r="H37" s="6"/>
    </x:row>
    <x:row r="38" ht="22" customHeight="1">
      <x:c r="A38" s="1"/>
      <x:c r="B38" s="1"/>
      <x:c r="C38" s="1"/>
      <x:c r="D38" s="6"/>
      <x:c r="E38" s="6"/>
      <x:c r="F38" s="6"/>
      <x:c r="G38" s="6"/>
      <x:c r="H38" s="6"/>
    </x:row>
    <x:row r="39" ht="42" customHeight="1">
      <x:c r="A39" s="1"/>
      <x:c r="B39" s="1"/>
      <x:c r="C39" s="18" t="str">
        <x:v>Interest uses rounded end-period rates and debt after issuance adjustments. Annualized first-half combined NOI is a run-rate proxy, not LTM NOI, cash flow or a company-defined covenant calculation.</x:v>
      </x:c>
      <x:c r="D39" s="19"/>
      <x:c r="E39" s="19"/>
      <x:c r="F39" s="19"/>
      <x:c r="G39" s="6"/>
      <x:c r="H39" s="6"/>
    </x:row>
    <x:row r="40" ht="22" customHeight="1">
      <x:c r="A40" s="1"/>
      <x:c r="B40" s="1"/>
      <x:c r="C40" s="1"/>
      <x:c r="D40" s="6"/>
      <x:c r="E40" s="6"/>
      <x:c r="F40" s="6"/>
      <x:c r="G40" s="6"/>
      <x:c r="H40" s="6"/>
    </x:row>
    <x:row r="41" ht="42" customHeight="1">
      <x:c r="A41" s="1"/>
      <x:c r="B41" s="1"/>
      <x:c r="C41" s="18" t="str">
        <x:v>USD 9.3 billion liquidity includes available revolving capacity. This is not unrestricted cash. Comparing it with maturities omits dividends, capex, restricted cash and operating cash generation.</x:v>
      </x:c>
      <x:c r="D41" s="19"/>
      <x:c r="E41" s="19"/>
      <x:c r="F41" s="19"/>
      <x:c r="G41" s="6"/>
      <x:c r="H41" s="6"/>
    </x:row>
    <x:row r="42" ht="22" customHeight="1">
      <x:c r="A42" s="1"/>
      <x:c r="B42" s="1"/>
      <x:c r="C42" s="1"/>
      <x:c r="D42" s="6"/>
      <x:c r="E42" s="6"/>
      <x:c r="F42" s="6"/>
      <x:c r="G42" s="6"/>
      <x:c r="H42" s="6"/>
    </x:row>
    <x:row r="43" ht="42" customHeight="1">
      <x:c r="A43" s="1"/>
      <x:c r="B43" s="1"/>
      <x:c r="C43" s="18" t="str">
        <x:v>Reported indenture fixed-charge coverage is 4.7x versus a minimum above 1.5x (S3 p13). The analyst proxy above does not reproduce that covenant and must not be called covenant headroom.</x:v>
      </x:c>
      <x:c r="D43" s="19"/>
      <x:c r="E43" s="19"/>
      <x:c r="F43" s="19"/>
      <x:c r="G43" s="6"/>
      <x:c r="H43" s="6"/>
    </x:row>
    <x:row r="44" ht="22" customHeight="1">
      <x:c r="A44" s="1"/>
      <x:c r="B44" s="1"/>
      <x:c r="C44" s="1"/>
      <x:c r="D44" s="6"/>
      <x:c r="E44" s="6"/>
      <x:c r="F44" s="6"/>
      <x:c r="G44" s="6"/>
      <x:c r="H44" s="6"/>
    </x:row>
    <x:row r="45" ht="42" customHeight="1">
      <x:c r="A45" s="1"/>
      <x:c r="B45" s="1"/>
      <x:c r="C45" s="18" t="str">
        <x:v>Blue figures are inputs. Yellow cells mark the annualization and fixed-refinancing assumptions. Scenario interest is a full-year run rate, not a first-year cash expense forecast.</x:v>
      </x:c>
      <x:c r="D45" s="19"/>
      <x:c r="E45" s="19"/>
      <x:c r="F45" s="19"/>
      <x:c r="G45" s="6"/>
      <x:c r="H45" s="6"/>
    </x:row>
    <x:row r="46" ht="22" customHeight="1">
      <x:c r="A46" s="1"/>
      <x:c r="B46" s="1"/>
      <x:c r="C46" s="1"/>
      <x:c r="D46" s="6"/>
      <x:c r="E46" s="6"/>
      <x:c r="F46" s="6"/>
      <x:c r="G46" s="6"/>
      <x:c r="H46" s="6"/>
    </x:row>
    <x:row r="47" ht="22" customHeight="1">
      <x:c r="A47" s="1"/>
      <x:c r="B47" s="1"/>
      <x:c r="C47" s="1"/>
      <x:c r="D47" s="6"/>
      <x:c r="E47" s="6"/>
      <x:c r="F47" s="6"/>
      <x:c r="G47" s="6"/>
      <x:c r="H47" s="6"/>
    </x:row>
    <x:row r="48" ht="22" customHeight="1">
      <x:c r="A48" s="1"/>
      <x:c r="B48" s="1"/>
      <x:c r="C48" s="1"/>
      <x:c r="D48" s="6"/>
      <x:c r="E48" s="6"/>
      <x:c r="F48" s="6"/>
      <x:c r="G48" s="6"/>
      <x:c r="H48" s="6"/>
    </x:row>
    <x:row r="49" ht="22" customHeight="1">
      <x:c r="A49" s="1"/>
      <x:c r="B49" s="1"/>
      <x:c r="C49" s="1"/>
      <x:c r="D49" s="6"/>
      <x:c r="E49" s="6"/>
      <x:c r="F49" s="6"/>
      <x:c r="G49" s="6"/>
      <x:c r="H49" s="6"/>
    </x:row>
    <x:row r="50" ht="22" customHeight="1">
      <x:c r="A50" s="1"/>
      <x:c r="B50" s="1"/>
      <x:c r="C50" s="1"/>
      <x:c r="D50" s="6"/>
      <x:c r="E50" s="6"/>
      <x:c r="F50" s="6"/>
      <x:c r="G50" s="6"/>
      <x:c r="H50" s="6"/>
    </x:row>
  </x:sheetData>
  <x:mergeCells>
    <x:mergeCell ref="C37:F37"/>
    <x:mergeCell ref="C39:F39"/>
    <x:mergeCell ref="C41:F41"/>
    <x:mergeCell ref="C43:F43"/>
    <x:mergeCell ref="C45:F4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3" hidden="0" customWidth="1"/>
    <x:col min="4" max="4" width="18" hidden="0" customWidth="1"/>
    <x:col min="5" max="5" width="18" hidden="0" customWidth="1"/>
    <x:col min="6" max="6" width="40" hidden="0" customWidth="1"/>
    <x:col min="7" max="7" width="17" hidden="0" customWidth="1"/>
    <x:col min="8" max="8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1"/>
      <x:c r="B2" s="1"/>
      <x:c r="C2" s="3" t="str">
        <x:v>Property debt and equity case</x:v>
      </x:c>
      <x:c r="D2" s="3"/>
      <x:c r="E2" s="3"/>
      <x:c r="F2" s="3"/>
      <x:c r="G2" s="3"/>
      <x:c r="H2" s="3"/>
    </x:row>
    <x:row r="3" ht="24" customHeight="1">
      <x:c r="A3" s="1"/>
      <x:c r="B3" s="1"/>
      <x:c r="C3" s="4" t="str">
        <x:v>Illustrative property; USD millions; not a Simon asset appraisal</x:v>
      </x:c>
      <x:c r="D3" s="4"/>
      <x:c r="E3" s="4"/>
      <x:c r="F3" s="4"/>
      <x:c r="G3" s="4"/>
      <x:c r="H3" s="4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22" customHeight="1">
      <x:c r="A6" s="1"/>
      <x:c r="B6" s="1"/>
      <x:c r="C6" s="8" t="str">
        <x:v>Assumption or calculation</x:v>
      </x:c>
      <x:c r="D6" s="8" t="str">
        <x:v>Base</x:v>
      </x:c>
      <x:c r="E6" s="8" t="str">
        <x:v>Downside</x:v>
      </x:c>
      <x:c r="F6" s="8" t="str">
        <x:v>Basis</x:v>
      </x:c>
      <x:c r="G6" s="1"/>
      <x:c r="H6" s="1"/>
    </x:row>
    <x:row r="7" ht="22" customHeight="1">
      <x:c r="A7" s="1"/>
      <x:c r="B7" s="1"/>
      <x:c r="C7" s="1"/>
      <x:c r="D7" s="1"/>
      <x:c r="E7" s="1"/>
      <x:c r="F7" s="1"/>
      <x:c r="G7" s="1"/>
      <x:c r="H7" s="1"/>
    </x:row>
    <x:row r="8" ht="34" customHeight="1">
      <x:c r="A8" s="1"/>
      <x:c r="B8" s="1"/>
      <x:c r="C8" s="1" t="str">
        <x:v>Annual NOI before financing</x:v>
      </x:c>
      <x:c r="D8" s="23" t="n">
        <x:v>6</x:v>
      </x:c>
      <x:c r="E8" s="23" t="n">
        <x:v>4.8</x:v>
      </x:c>
      <x:c r="F8" s="21" t="str">
        <x:v>Downside: 20% lower NOI</x:v>
      </x:c>
      <x:c r="G8" s="6"/>
      <x:c r="H8" s="6"/>
    </x:row>
    <x:row r="9" ht="34" customHeight="1">
      <x:c r="A9" s="1"/>
      <x:c r="B9" s="1"/>
      <x:c r="C9" s="1" t="str">
        <x:v>Capitalization rate</x:v>
      </x:c>
      <x:c r="D9" s="26" t="n">
        <x:v>0.06</x:v>
      </x:c>
      <x:c r="E9" s="26" t="n">
        <x:v>0.075</x:v>
      </x:c>
      <x:c r="F9" s="21" t="str">
        <x:v>Downside: 150 bps higher</x:v>
      </x:c>
      <x:c r="G9" s="6"/>
      <x:c r="H9" s="6"/>
    </x:row>
    <x:row r="10" ht="34" customHeight="1">
      <x:c r="A10" s="1"/>
      <x:c r="B10" s="1"/>
      <x:c r="C10" s="1" t="str">
        <x:v>Senior loan principal</x:v>
      </x:c>
      <x:c r="D10" s="23" t="n">
        <x:v>60</x:v>
      </x:c>
      <x:c r="E10" s="23" t="n">
        <x:v>60</x:v>
      </x:c>
      <x:c r="F10" s="21" t="str">
        <x:v>Interest-only; no amortization</x:v>
      </x:c>
      <x:c r="G10" s="6"/>
      <x:c r="H10" s="6"/>
    </x:row>
    <x:row r="11" ht="34" customHeight="1">
      <x:c r="A11" s="1"/>
      <x:c r="B11" s="1"/>
      <x:c r="C11" s="1" t="str">
        <x:v>Senior loan interest rate</x:v>
      </x:c>
      <x:c r="D11" s="26" t="n">
        <x:v>0.07</x:v>
      </x:c>
      <x:c r="E11" s="26" t="n">
        <x:v>0.09</x:v>
      </x:c>
      <x:c r="F11" s="21" t="str">
        <x:v>Downside: 200 bps higher</x:v>
      </x:c>
      <x:c r="G11" s="6"/>
      <x:c r="H11" s="6"/>
    </x:row>
    <x:row r="12" ht="34" customHeight="1">
      <x:c r="A12" s="1"/>
      <x:c r="B12" s="1"/>
      <x:c r="C12" s="1" t="str">
        <x:v>Junior debt principal</x:v>
      </x:c>
      <x:c r="D12" s="23" t="n">
        <x:v>10</x:v>
      </x:c>
      <x:c r="E12" s="23" t="n">
        <x:v>10</x:v>
      </x:c>
      <x:c r="F12" s="21" t="str">
        <x:v>Illustrative contractual junior debt</x:v>
      </x:c>
      <x:c r="G12" s="6"/>
      <x:c r="H12" s="6"/>
    </x:row>
    <x:row r="13" ht="34" customHeight="1">
      <x:c r="A13" s="1"/>
      <x:c r="B13" s="1"/>
      <x:c r="C13" s="1" t="str">
        <x:v>Junior debt interest rate</x:v>
      </x:c>
      <x:c r="D13" s="26" t="n">
        <x:v>0.1</x:v>
      </x:c>
      <x:c r="E13" s="26" t="n">
        <x:v>0.1</x:v>
      </x:c>
      <x:c r="F13" s="21" t="str">
        <x:v>Cash-pay; unchanged in stress</x:v>
      </x:c>
      <x:c r="G13" s="6"/>
      <x:c r="H13" s="6"/>
    </x:row>
    <x:row r="14" ht="34" customHeight="1">
      <x:c r="A14" s="1"/>
      <x:c r="B14" s="1"/>
      <x:c r="C14" s="1" t="str">
        <x:v>Total entry property value</x:v>
      </x:c>
      <x:c r="D14" s="23" t="n">
        <x:v>100</x:v>
      </x:c>
      <x:c r="E14" s="23" t="n">
        <x:v>100</x:v>
      </x:c>
      <x:c r="F14" s="21" t="str">
        <x:v>Common initial capital basis</x:v>
      </x:c>
      <x:c r="G14" s="6"/>
      <x:c r="H14" s="6"/>
    </x:row>
    <x:row r="15" ht="34" customHeight="1">
      <x:c r="A15" s="1"/>
      <x:c r="B15" s="1"/>
      <x:c r="C15" s="1" t="str">
        <x:v>Maximum refinancing LTV</x:v>
      </x:c>
      <x:c r="D15" s="26" t="n">
        <x:v>0.65</x:v>
      </x:c>
      <x:c r="E15" s="26" t="n">
        <x:v>0.65</x:v>
      </x:c>
      <x:c r="F15" s="21" t="str">
        <x:v>Analyst assumption; not Macquarie policy</x:v>
      </x:c>
      <x:c r="G15" s="6"/>
      <x:c r="H15" s="6"/>
    </x:row>
    <x:row r="16" ht="34" customHeight="1">
      <x:c r="A16" s="1"/>
      <x:c r="B16" s="1"/>
      <x:c r="C16" s="1" t="str">
        <x:v>Minimum refinancing DSCR</x:v>
      </x:c>
      <x:c r="D16" s="27" t="n">
        <x:v>1.25</x:v>
      </x:c>
      <x:c r="E16" s="27" t="n">
        <x:v>1.25</x:v>
      </x:c>
      <x:c r="F16" s="21" t="str">
        <x:v>Analyst assumption; senior debt only</x:v>
      </x:c>
      <x:c r="G16" s="6"/>
      <x:c r="H16" s="6"/>
    </x:row>
    <x:row r="17" ht="34" customHeight="1">
      <x:c r="A17" s="1"/>
      <x:c r="B17" s="1"/>
      <x:c r="C17" s="1" t="str">
        <x:v>Minimum refinancing debt yield</x:v>
      </x:c>
      <x:c r="D17" s="26" t="n">
        <x:v>0.09</x:v>
      </x:c>
      <x:c r="E17" s="26" t="n">
        <x:v>0.09</x:v>
      </x:c>
      <x:c r="F17" s="21" t="str">
        <x:v>Analyst assumption; senior debt only</x:v>
      </x:c>
      <x:c r="G17" s="6"/>
      <x:c r="H17" s="6"/>
    </x:row>
    <x:row r="18" ht="22" customHeight="1">
      <x:c r="A18" s="1"/>
      <x:c r="B18" s="1"/>
      <x:c r="C18" s="1"/>
      <x:c r="D18" s="6"/>
      <x:c r="E18" s="6"/>
      <x:c r="F18" s="6"/>
      <x:c r="G18" s="6"/>
      <x:c r="H18" s="6"/>
    </x:row>
    <x:row r="19" ht="22" customHeight="1">
      <x:c r="A19" s="1"/>
      <x:c r="B19" s="1"/>
      <x:c r="C19" s="1" t="str">
        <x:v>Capitalized property value</x:v>
      </x:c>
      <x:c r="D19" s="6" t="n">
        <x:f>D8/D9</x:f>
        <x:v>100</x:v>
      </x:c>
      <x:c r="E19" s="6" t="n">
        <x:f>E8/E9</x:f>
        <x:v>64</x:v>
      </x:c>
      <x:c r="F19" s="6"/>
      <x:c r="G19" s="6"/>
      <x:c r="H19" s="6"/>
    </x:row>
    <x:row r="20" ht="22" customHeight="1">
      <x:c r="A20" s="1"/>
      <x:c r="B20" s="1"/>
      <x:c r="C20" s="1" t="str">
        <x:v>Senior annual debt service</x:v>
      </x:c>
      <x:c r="D20" s="6" t="n">
        <x:f>D10*D11</x:f>
        <x:v>4.2</x:v>
      </x:c>
      <x:c r="E20" s="6" t="n">
        <x:f>E10*E11</x:f>
        <x:v>5.3999999999999995</x:v>
      </x:c>
      <x:c r="F20" s="6"/>
      <x:c r="G20" s="6"/>
      <x:c r="H20" s="6"/>
    </x:row>
    <x:row r="21" ht="22" customHeight="1">
      <x:c r="A21" s="1"/>
      <x:c r="B21" s="1"/>
      <x:c r="C21" s="1" t="str">
        <x:v>Senior DSCR</x:v>
      </x:c>
      <x:c r="D21" s="25" t="n">
        <x:f>D8/D20</x:f>
        <x:v>1.4285714285714286</x:v>
      </x:c>
      <x:c r="E21" s="25" t="n">
        <x:f>E8/E20</x:f>
        <x:v>0.888888888888889</x:v>
      </x:c>
      <x:c r="F21" s="6"/>
      <x:c r="G21" s="6"/>
      <x:c r="H21" s="6"/>
    </x:row>
    <x:row r="22" ht="22" customHeight="1">
      <x:c r="A22" s="1"/>
      <x:c r="B22" s="1"/>
      <x:c r="C22" s="1" t="str">
        <x:v>Senior LTV</x:v>
      </x:c>
      <x:c r="D22" s="15" t="n">
        <x:f>D10/D19</x:f>
        <x:v>0.6</x:v>
      </x:c>
      <x:c r="E22" s="15" t="n">
        <x:f>E10/E19</x:f>
        <x:v>0.9375</x:v>
      </x:c>
      <x:c r="F22" s="6"/>
      <x:c r="G22" s="6"/>
      <x:c r="H22" s="6"/>
    </x:row>
    <x:row r="23" ht="22" customHeight="1">
      <x:c r="A23" s="1"/>
      <x:c r="B23" s="1"/>
      <x:c r="C23" s="1" t="str">
        <x:v>Senior debt yield</x:v>
      </x:c>
      <x:c r="D23" s="15" t="n">
        <x:f>D8/D10</x:f>
        <x:v>0.1</x:v>
      </x:c>
      <x:c r="E23" s="15" t="n">
        <x:f>E8/E10</x:f>
        <x:v>0.08</x:v>
      </x:c>
      <x:c r="F23" s="6"/>
      <x:c r="G23" s="6"/>
      <x:c r="H23" s="6"/>
    </x:row>
    <x:row r="24" ht="22" customHeight="1">
      <x:c r="A24" s="1"/>
      <x:c r="B24" s="1"/>
      <x:c r="C24" s="1" t="str">
        <x:v>Junior annual interest</x:v>
      </x:c>
      <x:c r="D24" s="6" t="n">
        <x:f>D12*D13</x:f>
        <x:v>1</x:v>
      </x:c>
      <x:c r="E24" s="6" t="n">
        <x:f>E12*E13</x:f>
        <x:v>1</x:v>
      </x:c>
      <x:c r="F24" s="6"/>
      <x:c r="G24" s="6"/>
      <x:c r="H24" s="6"/>
    </x:row>
    <x:row r="25" ht="22" customHeight="1">
      <x:c r="A25" s="1"/>
      <x:c r="B25" s="1"/>
      <x:c r="C25" s="1" t="str">
        <x:v>Residual NOI after debt interest</x:v>
      </x:c>
      <x:c r="D25" s="6" t="n">
        <x:f>D8-D20-D24</x:f>
        <x:v>0.7999999999999998</x:v>
      </x:c>
      <x:c r="E25" s="6" t="n">
        <x:f>E8-E20-E24</x:f>
        <x:v>-1.5999999999999996</x:v>
      </x:c>
      <x:c r="F25" s="6"/>
      <x:c r="G25" s="6"/>
      <x:c r="H25" s="6"/>
    </x:row>
    <x:row r="26" ht="22" customHeight="1">
      <x:c r="A26" s="1"/>
      <x:c r="B26" s="1"/>
      <x:c r="C26" s="1" t="str">
        <x:v>Initial common equity</x:v>
      </x:c>
      <x:c r="D26" s="6" t="n">
        <x:f>D14-D10-D12</x:f>
        <x:v>30</x:v>
      </x:c>
      <x:c r="E26" s="6" t="n">
        <x:f>E14-E10-E12</x:f>
        <x:v>30</x:v>
      </x:c>
      <x:c r="F26" s="6"/>
      <x:c r="G26" s="6"/>
      <x:c r="H26" s="6"/>
    </x:row>
    <x:row r="27" ht="22" customHeight="1">
      <x:c r="A27" s="1"/>
      <x:c r="B27" s="1"/>
      <x:c r="C27" s="1" t="str">
        <x:v>Equity cash-on-cash return</x:v>
      </x:c>
      <x:c r="D27" s="15" t="n">
        <x:f>D25/D26</x:f>
        <x:v>0.02666666666666666</x:v>
      </x:c>
      <x:c r="E27" s="15" t="n">
        <x:f>E25/E26</x:f>
        <x:v>-0.05333333333333332</x:v>
      </x:c>
      <x:c r="F27" s="6"/>
      <x:c r="G27" s="6"/>
      <x:c r="H27" s="6"/>
    </x:row>
    <x:row r="28" ht="22" customHeight="1">
      <x:c r="A28" s="1"/>
      <x:c r="B28" s="1"/>
      <x:c r="C28" s="1"/>
      <x:c r="D28" s="6"/>
      <x:c r="E28" s="6"/>
      <x:c r="F28" s="6"/>
      <x:c r="G28" s="6"/>
      <x:c r="H28" s="6"/>
    </x:row>
    <x:row r="29" ht="22" customHeight="1">
      <x:c r="A29" s="1"/>
      <x:c r="B29" s="1"/>
      <x:c r="C29" s="1" t="str">
        <x:v>New senior debt allowed by LTV</x:v>
      </x:c>
      <x:c r="D29" s="6" t="n">
        <x:f>D19*D15</x:f>
        <x:v>65</x:v>
      </x:c>
      <x:c r="E29" s="6" t="n">
        <x:f>E19*E15</x:f>
        <x:v>41.6</x:v>
      </x:c>
      <x:c r="F29" s="6"/>
      <x:c r="G29" s="6"/>
      <x:c r="H29" s="6"/>
    </x:row>
    <x:row r="30" ht="22" customHeight="1">
      <x:c r="A30" s="1"/>
      <x:c r="B30" s="1"/>
      <x:c r="C30" s="1" t="str">
        <x:v>New senior debt allowed by DSCR</x:v>
      </x:c>
      <x:c r="D30" s="6" t="n">
        <x:f>D8/(D11*D16)</x:f>
        <x:v>68.57142857142857</x:v>
      </x:c>
      <x:c r="E30" s="6" t="n">
        <x:f>E8/(E11*E16)</x:f>
        <x:v>42.66666666666667</x:v>
      </x:c>
      <x:c r="F30" s="6"/>
      <x:c r="G30" s="6"/>
      <x:c r="H30" s="6"/>
    </x:row>
    <x:row r="31" ht="22" customHeight="1">
      <x:c r="A31" s="1"/>
      <x:c r="B31" s="1"/>
      <x:c r="C31" s="1" t="str">
        <x:v>New senior debt allowed by debt yield</x:v>
      </x:c>
      <x:c r="D31" s="6" t="n">
        <x:f>D8/D17</x:f>
        <x:v>66.66666666666667</x:v>
      </x:c>
      <x:c r="E31" s="6" t="n">
        <x:f>E8/E17</x:f>
        <x:v>53.333333333333336</x:v>
      </x:c>
      <x:c r="F31" s="6"/>
      <x:c r="G31" s="6"/>
      <x:c r="H31" s="6"/>
    </x:row>
    <x:row r="32" ht="22" customHeight="1">
      <x:c r="A32" s="1"/>
      <x:c r="B32" s="1"/>
      <x:c r="C32" s="1" t="str">
        <x:v>Maximum replacement senior loan</x:v>
      </x:c>
      <x:c r="D32" s="6" t="n">
        <x:f>MIN(D29:D31)</x:f>
        <x:v>65</x:v>
      </x:c>
      <x:c r="E32" s="6" t="n">
        <x:f>MIN(E29:E31)</x:f>
        <x:v>41.6</x:v>
      </x:c>
      <x:c r="F32" s="6"/>
      <x:c r="G32" s="6"/>
      <x:c r="H32" s="6"/>
    </x:row>
    <x:row r="33" ht="22" customHeight="1">
      <x:c r="A33" s="1"/>
      <x:c r="B33" s="1"/>
      <x:c r="C33" s="1" t="str">
        <x:v>Senior refinancing shortfall</x:v>
      </x:c>
      <x:c r="D33" s="6" t="n">
        <x:f>MAX(D10-D32,0)</x:f>
        <x:v>0</x:v>
      </x:c>
      <x:c r="E33" s="6" t="n">
        <x:f>MAX(E10-E32,0)</x:f>
        <x:v>18.4</x:v>
      </x:c>
      <x:c r="F33" s="6"/>
      <x:c r="G33" s="6"/>
      <x:c r="H33" s="6"/>
    </x:row>
    <x:row r="34" ht="22" customHeight="1">
      <x:c r="A34" s="1"/>
      <x:c r="B34" s="1"/>
      <x:c r="C34" s="1"/>
      <x:c r="D34" s="6"/>
      <x:c r="E34" s="6"/>
      <x:c r="F34" s="6"/>
      <x:c r="G34" s="6"/>
      <x:c r="H34" s="6"/>
    </x:row>
    <x:row r="35" ht="22" customHeight="1">
      <x:c r="A35" s="1"/>
      <x:c r="B35" s="1"/>
      <x:c r="C35" s="1" t="str">
        <x:v>Gross value available to senior debt</x:v>
      </x:c>
      <x:c r="D35" s="6" t="n">
        <x:f>MIN(D19,D10)</x:f>
        <x:v>60</x:v>
      </x:c>
      <x:c r="E35" s="6" t="n">
        <x:f>MIN(E19,E10)</x:f>
        <x:v>60</x:v>
      </x:c>
      <x:c r="F35" s="6"/>
      <x:c r="G35" s="6"/>
      <x:c r="H35" s="6"/>
    </x:row>
    <x:row r="36" ht="22" customHeight="1">
      <x:c r="A36" s="1"/>
      <x:c r="B36" s="1"/>
      <x:c r="C36" s="1" t="str">
        <x:v>Gross value available to junior debt</x:v>
      </x:c>
      <x:c r="D36" s="6" t="n">
        <x:f>MIN(MAX(D19-D35,0),D12)</x:f>
        <x:v>10</x:v>
      </x:c>
      <x:c r="E36" s="6" t="n">
        <x:f>MIN(MAX(E19-E35,0),E12)</x:f>
        <x:v>4</x:v>
      </x:c>
      <x:c r="F36" s="6"/>
      <x:c r="G36" s="6"/>
      <x:c r="H36" s="6"/>
    </x:row>
    <x:row r="37" ht="22" customHeight="1">
      <x:c r="A37" s="1"/>
      <x:c r="B37" s="1"/>
      <x:c r="C37" s="1" t="str">
        <x:v>Gross value available to common equity</x:v>
      </x:c>
      <x:c r="D37" s="6" t="n">
        <x:f>MAX(D19-SUM(D35:D36),0)</x:f>
        <x:v>30</x:v>
      </x:c>
      <x:c r="E37" s="6" t="n">
        <x:f>MAX(E19-SUM(E35:E36),0)</x:f>
        <x:v>0</x:v>
      </x:c>
      <x:c r="F37" s="6"/>
      <x:c r="G37" s="6"/>
      <x:c r="H37" s="6"/>
    </x:row>
    <x:row r="38" ht="22" customHeight="1">
      <x:c r="A38" s="1"/>
      <x:c r="B38" s="1"/>
      <x:c r="C38" s="1" t="str">
        <x:v>Junior principal recovery</x:v>
      </x:c>
      <x:c r="D38" s="15" t="n">
        <x:f>D36/D12</x:f>
        <x:v>1</x:v>
      </x:c>
      <x:c r="E38" s="15" t="n">
        <x:f>E36/E12</x:f>
        <x:v>0.4</x:v>
      </x:c>
      <x:c r="F38" s="6"/>
      <x:c r="G38" s="6"/>
      <x:c r="H38" s="6"/>
    </x:row>
    <x:row r="39" ht="22" customHeight="1">
      <x:c r="A39" s="1"/>
      <x:c r="B39" s="1"/>
      <x:c r="C39" s="1" t="str">
        <x:v>Common equity value / initial equity</x:v>
      </x:c>
      <x:c r="D39" s="25" t="n">
        <x:f>D37/D26</x:f>
        <x:v>1</x:v>
      </x:c>
      <x:c r="E39" s="25" t="n">
        <x:f>E37/E26</x:f>
        <x:v>0</x:v>
      </x:c>
      <x:c r="F39" s="6"/>
      <x:c r="G39" s="6"/>
      <x:c r="H39" s="6"/>
    </x:row>
    <x:row r="40" ht="22" customHeight="1">
      <x:c r="A40" s="1"/>
      <x:c r="B40" s="1"/>
      <x:c r="C40" s="1"/>
      <x:c r="D40" s="6"/>
      <x:c r="E40" s="6"/>
      <x:c r="F40" s="6"/>
      <x:c r="G40" s="6"/>
      <x:c r="H40" s="6"/>
    </x:row>
    <x:row r="41" ht="22" customHeight="1">
      <x:c r="A41" s="1"/>
      <x:c r="B41" s="1"/>
      <x:c r="C41" s="1"/>
      <x:c r="D41" s="6"/>
      <x:c r="E41" s="6"/>
      <x:c r="F41" s="6"/>
      <x:c r="G41" s="6"/>
      <x:c r="H41" s="6"/>
    </x:row>
    <x:row r="42" ht="42" customHeight="1">
      <x:c r="A42" s="1"/>
      <x:c r="B42" s="1"/>
      <x:c r="C42" s="18" t="str">
        <x:v>Debt and equity face different outcomes from the same property. Base senior DSCR is 1.43x. In downside it falls to 0.89x, while senior LTV rises from 60.0% to 93.8%.</x:v>
      </x:c>
      <x:c r="D42" s="19"/>
      <x:c r="E42" s="19"/>
      <x:c r="F42" s="19"/>
      <x:c r="G42" s="6"/>
      <x:c r="H42" s="6"/>
    </x:row>
    <x:row r="43" ht="22" customHeight="1">
      <x:c r="A43" s="1"/>
      <x:c r="B43" s="1"/>
      <x:c r="C43" s="1"/>
      <x:c r="D43" s="6"/>
      <x:c r="E43" s="6"/>
      <x:c r="F43" s="6"/>
      <x:c r="G43" s="6"/>
      <x:c r="H43" s="6"/>
    </x:row>
    <x:row r="44" ht="42" customHeight="1">
      <x:c r="A44" s="1"/>
      <x:c r="B44" s="1"/>
      <x:c r="C44" s="18" t="str">
        <x:v>The downside senior refinancing ceiling is USD 41.6 million, leaving an USD 18.4 million gap. It is the minimum of the stated LTV, DSCR and debt-yield constraints.</x:v>
      </x:c>
      <x:c r="D44" s="19"/>
      <x:c r="E44" s="19"/>
      <x:c r="F44" s="19"/>
      <x:c r="G44" s="6"/>
      <x:c r="H44" s="6"/>
    </x:row>
    <x:row r="45" ht="22" customHeight="1">
      <x:c r="A45" s="1"/>
      <x:c r="B45" s="1"/>
      <x:c r="C45" s="1"/>
      <x:c r="D45" s="6"/>
      <x:c r="E45" s="6"/>
      <x:c r="F45" s="6"/>
      <x:c r="G45" s="6"/>
      <x:c r="H45" s="6"/>
    </x:row>
    <x:row r="46" ht="42" customHeight="1">
      <x:c r="A46" s="1"/>
      <x:c r="B46" s="1"/>
      <x:c r="C46" s="18" t="str">
        <x:v>Recovery assumes an immediate sale at capitalized value, senior then junior principal priority, and no costs, taxes, accrued interest or enforcement friction. Actual documentation determines priority.</x:v>
      </x:c>
      <x:c r="D46" s="19"/>
      <x:c r="E46" s="19"/>
      <x:c r="F46" s="19"/>
      <x:c r="G46" s="6"/>
      <x:c r="H46" s="6"/>
    </x:row>
    <x:row r="47" ht="22" customHeight="1">
      <x:c r="A47" s="1"/>
      <x:c r="B47" s="1"/>
      <x:c r="C47" s="1"/>
      <x:c r="D47" s="6"/>
      <x:c r="E47" s="6"/>
      <x:c r="F47" s="6"/>
      <x:c r="G47" s="6"/>
      <x:c r="H47" s="6"/>
    </x:row>
    <x:row r="48" ht="42" customHeight="1">
      <x:c r="A48" s="1"/>
      <x:c r="B48" s="1"/>
      <x:c r="C48" s="18" t="str">
        <x:v>Cash-on-cash is an annual residual-cash measure, not IRR. Negative residual NOI is an unfunded cash shortfall. Preferred equity and legal mezzanine structures are not separately modeled.</x:v>
      </x:c>
      <x:c r="D48" s="19"/>
      <x:c r="E48" s="19"/>
      <x:c r="F48" s="19"/>
      <x:c r="G48" s="6"/>
      <x:c r="H48" s="6"/>
    </x:row>
    <x:row r="49" ht="22" customHeight="1">
      <x:c r="A49" s="1"/>
      <x:c r="B49" s="1"/>
      <x:c r="C49" s="1"/>
      <x:c r="D49" s="6"/>
      <x:c r="E49" s="6"/>
      <x:c r="F49" s="6"/>
      <x:c r="G49" s="6"/>
      <x:c r="H49" s="6"/>
    </x:row>
    <x:row r="50" ht="22" customHeight="1">
      <x:c r="A50" s="1"/>
      <x:c r="B50" s="1"/>
      <x:c r="C50" s="1"/>
      <x:c r="D50" s="6"/>
      <x:c r="E50" s="6"/>
      <x:c r="F50" s="6"/>
      <x:c r="G50" s="6"/>
      <x:c r="H50" s="6"/>
    </x:row>
    <x:row r="51" ht="22" customHeight="1">
      <x:c r="A51" s="1"/>
      <x:c r="B51" s="1"/>
      <x:c r="C51" s="1"/>
      <x:c r="D51" s="6"/>
      <x:c r="E51" s="6"/>
      <x:c r="F51" s="6"/>
      <x:c r="G51" s="6"/>
      <x:c r="H51" s="6"/>
    </x:row>
    <x:row r="52" ht="22" customHeight="1">
      <x:c r="A52" s="1"/>
      <x:c r="B52" s="1"/>
      <x:c r="C52" s="1"/>
      <x:c r="D52" s="6"/>
      <x:c r="E52" s="6"/>
      <x:c r="F52" s="6"/>
      <x:c r="G52" s="6"/>
      <x:c r="H52" s="6"/>
    </x:row>
  </x:sheetData>
  <x:mergeCells>
    <x:mergeCell ref="C42:F42"/>
    <x:mergeCell ref="C44:F44"/>
    <x:mergeCell ref="C46:F46"/>
    <x:mergeCell ref="C48:F4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0" hidden="0" customWidth="1"/>
    <x:col min="4" max="4" width="48" hidden="0" customWidth="1"/>
    <x:col min="5" max="5" width="35" hidden="0" customWidth="1"/>
    <x:col min="6" max="6" width="100" hidden="0" customWidth="1"/>
    <x:col min="7" max="7" width="17" hidden="0" customWidth="1"/>
    <x:col min="8" max="8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1"/>
      <x:c r="B2" s="1"/>
      <x:c r="C2" s="3" t="str">
        <x:v>Sources and model scope</x:v>
      </x:c>
      <x:c r="D2" s="3"/>
      <x:c r="E2" s="3"/>
      <x:c r="F2" s="3"/>
      <x:c r="G2" s="3"/>
      <x:c r="H2" s="3"/>
    </x:row>
    <x:row r="3" ht="24" customHeight="1">
      <x:c r="A3" s="1"/>
      <x:c r="B3" s="1"/>
      <x:c r="C3" s="4" t="str">
        <x:v>Financial analysis case study | Updated October 6, 2026</x:v>
      </x:c>
      <x:c r="D3" s="4"/>
      <x:c r="E3" s="4"/>
      <x:c r="F3" s="4"/>
      <x:c r="G3" s="4"/>
      <x:c r="H3" s="4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22" customHeight="1">
      <x:c r="A6" s="1"/>
      <x:c r="B6" s="1"/>
      <x:c r="C6" s="8" t="str">
        <x:v>ID</x:v>
      </x:c>
      <x:c r="D6" s="8" t="str">
        <x:v>Source</x:v>
      </x:c>
      <x:c r="E6" s="8" t="str">
        <x:v>Used for</x:v>
      </x:c>
      <x:c r="F6" s="8" t="str">
        <x:v>URL</x:v>
      </x:c>
      <x:c r="G6" s="1"/>
      <x:c r="H6" s="1"/>
    </x:row>
    <x:row r="7" ht="22" customHeight="1">
      <x:c r="A7" s="1"/>
      <x:c r="B7" s="1"/>
      <x:c r="C7" s="1"/>
      <x:c r="D7" s="1"/>
      <x:c r="E7" s="1"/>
      <x:c r="F7" s="1"/>
      <x:c r="G7" s="1"/>
      <x:c r="H7" s="1"/>
    </x:row>
    <x:row r="8" ht="58" customHeight="1">
      <x:c r="A8" s="1"/>
      <x:c r="B8" s="1"/>
      <x:c r="C8" s="28" t="str">
        <x:v>S1</x:v>
      </x:c>
      <x:c r="D8" s="21" t="str">
        <x:v>Simon FY 2024 earnings release, February 4, 2025</x:v>
      </x:c>
      <x:c r="E8" s="21" t="str">
        <x:v>2023 and 2024 statements; annual metrics</x:v>
      </x:c>
      <x:c r="F8" s="21" t="str">
        <x:v>https://investors.simon.com/news-releases/news-release-details/simonr-reports-fourth-quarter-and-full-year-2024-results</x:v>
      </x:c>
      <x:c r="G8" s="6"/>
      <x:c r="H8" s="6"/>
    </x:row>
    <x:row r="9" ht="58" customHeight="1">
      <x:c r="A9" s="1"/>
      <x:c r="B9" s="1"/>
      <x:c r="C9" s="28" t="str">
        <x:v>S2</x:v>
      </x:c>
      <x:c r="D9" s="21" t="str">
        <x:v>Simon FY 2025 earnings release, February 2, 2026</x:v>
      </x:c>
      <x:c r="E9" s="21" t="str">
        <x:v>2025 statements, FFO, occupancy, gain</x:v>
      </x:c>
      <x:c r="F9" s="21" t="str">
        <x:v>https://investors.simon.com/news-releases/news-release-details/simonr-reports-fourth-quarter-and-full-year-2025-results</x:v>
      </x:c>
      <x:c r="G9" s="6"/>
      <x:c r="H9" s="6"/>
    </x:row>
    <x:row r="10" ht="58" customHeight="1">
      <x:c r="A10" s="1"/>
      <x:c r="B10" s="1"/>
      <x:c r="C10" s="28" t="str">
        <x:v>S3</x:v>
      </x:c>
      <x:c r="D10" s="21" t="str">
        <x:v>Simon Q2 2026 supplement, August 10, 2026</x:v>
      </x:c>
      <x:c r="E10" s="21" t="str">
        <x:v>pp13,16,27,28; covenants, NOI, debt</x:v>
      </x:c>
      <x:c r="F10" s="21" t="str">
        <x:v>https://investors.simon.com/static-files/e97aebe9-6f51-47f3-84bc-b6a540d22ae3</x:v>
      </x:c>
      <x:c r="G10" s="6"/>
      <x:c r="H10" s="6"/>
    </x:row>
    <x:row r="11" ht="58" customHeight="1">
      <x:c r="A11" s="1"/>
      <x:c r="B11" s="1"/>
      <x:c r="C11" s="28" t="str">
        <x:v>S4</x:v>
      </x:c>
      <x:c r="D11" s="21" t="str">
        <x:v>Simon Q2 2026 earnings release, August 10, 2026</x:v>
      </x:c>
      <x:c r="E11" s="21" t="str">
        <x:v>Rounded liquidity and interim context</x:v>
      </x:c>
      <x:c r="F11" s="21" t="str">
        <x:v>https://investors.simon.com/news-releases/news-release-details/simonr-reports-second-quarter-2026-results-and-increases</x:v>
      </x:c>
      <x:c r="G11" s="6"/>
      <x:c r="H11" s="6"/>
    </x:row>
    <x:row r="12" ht="58" customHeight="1">
      <x:c r="A12" s="1"/>
      <x:c r="B12" s="1"/>
      <x:c r="C12" s="28" t="str">
        <x:v>S5</x:v>
      </x:c>
      <x:c r="D12" s="21" t="str">
        <x:v>OCC Commercial Real Estate Lending handbook</x:v>
      </x:c>
      <x:c r="E12" s="21" t="str">
        <x:v>NOI, DSCR, debt yield, cap value and LTV</x:v>
      </x:c>
      <x:c r="F12" s="21" t="str">
        <x:v>https://www.occ.gov/publications-and-resources/publications/comptrollers-handbook/files/commercial-real-estate-lending/pub-ch-commercial-real-estate.pdf</x:v>
      </x:c>
      <x:c r="G12" s="6"/>
      <x:c r="H12" s="6"/>
    </x:row>
    <x:row r="13" ht="22" customHeight="1">
      <x:c r="A13" s="1"/>
      <x:c r="B13" s="1"/>
      <x:c r="C13" s="1"/>
      <x:c r="D13" s="6"/>
      <x:c r="E13" s="6"/>
      <x:c r="F13" s="6"/>
      <x:c r="G13" s="6"/>
      <x:c r="H13" s="6"/>
    </x:row>
    <x:row r="14" ht="22" customHeight="1">
      <x:c r="A14" s="1"/>
      <x:c r="B14" s="1"/>
      <x:c r="C14" s="1"/>
      <x:c r="D14" s="6"/>
      <x:c r="E14" s="6"/>
      <x:c r="F14" s="6"/>
      <x:c r="G14" s="6"/>
      <x:c r="H14" s="6"/>
    </x:row>
    <x:row r="15" ht="42" customHeight="1">
      <x:c r="A15" s="1"/>
      <x:c r="B15" s="1"/>
      <x:c r="C15" s="18" t="str">
        <x:v>This is a financial-analysis case study. It contains historical issuer disclosures and an illustrative property case, not an actual investment, lending offer or property-level appraisal.</x:v>
      </x:c>
      <x:c r="D15" s="19"/>
      <x:c r="E15" s="19"/>
      <x:c r="F15" s="19"/>
      <x:c r="G15" s="6"/>
      <x:c r="H15" s="6"/>
    </x:row>
    <x:row r="16" ht="22" customHeight="1">
      <x:c r="A16" s="1"/>
      <x:c r="B16" s="1"/>
      <x:c r="C16" s="1"/>
      <x:c r="D16" s="6"/>
      <x:c r="E16" s="6"/>
      <x:c r="F16" s="6"/>
      <x:c r="G16" s="6"/>
      <x:c r="H16" s="6"/>
    </x:row>
    <x:row r="17" ht="42" customHeight="1">
      <x:c r="A17" s="1"/>
      <x:c r="B17" s="1"/>
      <x:c r="C17" s="18" t="str">
        <x:v>The issuer stress uses economic ownership (our share) for both debt and combined NOI. It does not mix full joint-venture debt with beneficial-interest NOI.</x:v>
      </x:c>
      <x:c r="D17" s="19"/>
      <x:c r="E17" s="19"/>
      <x:c r="F17" s="19"/>
      <x:c r="G17" s="6"/>
      <x:c r="H17" s="6"/>
    </x:row>
    <x:row r="18" ht="22" customHeight="1">
      <x:c r="A18" s="1"/>
      <x:c r="B18" s="1"/>
      <x:c r="C18" s="1"/>
      <x:c r="D18" s="6"/>
      <x:c r="E18" s="6"/>
      <x:c r="F18" s="6"/>
      <x:c r="G18" s="6"/>
      <x:c r="H18" s="6"/>
    </x:row>
    <x:row r="19" ht="42" customHeight="1">
      <x:c r="A19" s="1"/>
      <x:c r="B19" s="1"/>
      <x:c r="C19" s="18" t="str">
        <x:v>Rate, NOI, refinancing and underwriting assumptions are editable. Sources provide context and formulas, not the analyst scenario values or an investment recommendation.</x:v>
      </x:c>
      <x:c r="D19" s="19"/>
      <x:c r="E19" s="19"/>
      <x:c r="F19" s="19"/>
      <x:c r="G19" s="6"/>
      <x:c r="H19" s="6"/>
    </x:row>
    <x:row r="20" ht="22" customHeight="1">
      <x:c r="A20" s="1"/>
      <x:c r="B20" s="1"/>
      <x:c r="C20" s="1"/>
      <x:c r="D20" s="6"/>
      <x:c r="E20" s="6"/>
      <x:c r="F20" s="6"/>
      <x:c r="G20" s="6"/>
      <x:c r="H20" s="6"/>
    </x:row>
    <x:row r="21" ht="42" customHeight="1">
      <x:c r="A21" s="1"/>
      <x:c r="B21" s="1"/>
      <x:c r="C21" s="18" t="str">
        <x:v>The model does not reproduce cash-flow statements, covenant definitions, a full loan maturity bridge, lender recovery costs or a multi-year property IRR. These are review topics before a transaction decision.</x:v>
      </x:c>
      <x:c r="D21" s="19"/>
      <x:c r="E21" s="19"/>
      <x:c r="F21" s="19"/>
      <x:c r="G21" s="6"/>
      <x:c r="H21" s="6"/>
    </x:row>
    <x:row r="22" ht="22" customHeight="1">
      <x:c r="A22" s="1"/>
      <x:c r="B22" s="1"/>
      <x:c r="C22" s="1"/>
      <x:c r="D22" s="6"/>
      <x:c r="E22" s="6"/>
      <x:c r="F22" s="6"/>
      <x:c r="G22" s="6"/>
      <x:c r="H22" s="6"/>
    </x:row>
    <x:row r="23" ht="42" customHeight="1">
      <x:c r="A23" s="1"/>
      <x:c r="B23" s="1"/>
      <x:c r="C23" s="18" t="str">
        <x:v>This updated case was reconstructed in October 2026. Its property capital-stack extension is illustrative and distinct from Simon’s reported company-level financials.</x:v>
      </x:c>
      <x:c r="D23" s="19"/>
      <x:c r="E23" s="19"/>
      <x:c r="F23" s="19"/>
      <x:c r="G23" s="6"/>
      <x:c r="H23" s="6"/>
    </x:row>
    <x:row r="24" ht="22" customHeight="1">
      <x:c r="A24" s="1"/>
      <x:c r="B24" s="1"/>
      <x:c r="C24" s="1"/>
      <x:c r="D24" s="6"/>
      <x:c r="E24" s="6"/>
      <x:c r="F24" s="6"/>
      <x:c r="G24" s="6"/>
      <x:c r="H24" s="6"/>
    </x:row>
    <x:row r="25" ht="22" customHeight="1">
      <x:c r="A25" s="1"/>
      <x:c r="B25" s="1"/>
      <x:c r="C25" s="1"/>
      <x:c r="D25" s="6"/>
      <x:c r="E25" s="6"/>
      <x:c r="F25" s="6"/>
      <x:c r="G25" s="6"/>
      <x:c r="H25" s="6"/>
    </x:row>
    <x:row r="26" ht="22" customHeight="1">
      <x:c r="A26" s="1"/>
      <x:c r="B26" s="1"/>
      <x:c r="C26" s="1"/>
      <x:c r="D26" s="6"/>
      <x:c r="E26" s="6"/>
      <x:c r="F26" s="6"/>
      <x:c r="G26" s="6"/>
      <x:c r="H26" s="6"/>
    </x:row>
    <x:row r="27" ht="22" customHeight="1">
      <x:c r="A27" s="1"/>
      <x:c r="B27" s="1"/>
      <x:c r="C27" s="1"/>
      <x:c r="D27" s="6"/>
      <x:c r="E27" s="6"/>
      <x:c r="F27" s="6"/>
      <x:c r="G27" s="6"/>
      <x:c r="H27" s="6"/>
    </x:row>
    <x:row r="28" ht="22" customHeight="1">
      <x:c r="A28" s="1"/>
      <x:c r="B28" s="1"/>
      <x:c r="C28" s="1"/>
      <x:c r="D28" s="6"/>
      <x:c r="E28" s="6"/>
      <x:c r="F28" s="6"/>
      <x:c r="G28" s="6"/>
      <x:c r="H28" s="6"/>
    </x:row>
    <x:row r="29" ht="22" customHeight="1">
      <x:c r="A29" s="1"/>
      <x:c r="B29" s="1"/>
      <x:c r="C29" s="1"/>
      <x:c r="D29" s="6"/>
      <x:c r="E29" s="6"/>
      <x:c r="F29" s="6"/>
      <x:c r="G29" s="6"/>
      <x:c r="H29" s="6"/>
    </x:row>
    <x:row r="30" ht="22" customHeight="1">
      <x:c r="A30" s="1"/>
      <x:c r="B30" s="1"/>
      <x:c r="C30" s="1"/>
      <x:c r="D30" s="6"/>
      <x:c r="E30" s="6"/>
      <x:c r="F30" s="6"/>
      <x:c r="G30" s="6"/>
      <x:c r="H30" s="6"/>
    </x:row>
  </x:sheetData>
  <x:mergeCells>
    <x:mergeCell ref="C15:F15"/>
    <x:mergeCell ref="C17:F17"/>
    <x:mergeCell ref="C19:F19"/>
    <x:mergeCell ref="C21:F21"/>
    <x:mergeCell ref="C23:F23"/>
  </x:mergeCells>
  <x:pageMargins left="0.7" right="0.7" top="0.75" bottom="0.75" header="0.3" footer="0.3"/>
</x:worksheet>
</file>